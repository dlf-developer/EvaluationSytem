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LF\Eng Dept\"/>
    </mc:Choice>
  </mc:AlternateContent>
  <xr:revisionPtr revIDLastSave="0" documentId="13_ncr:1_{E5BF746C-A5A1-499E-AED5-0923458B37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" i="1" l="1"/>
  <c r="V8" i="1"/>
  <c r="V9" i="1"/>
  <c r="V10" i="1"/>
  <c r="V13" i="1"/>
  <c r="V14" i="1"/>
  <c r="V15" i="1"/>
  <c r="V16" i="1"/>
  <c r="V18" i="1"/>
  <c r="V19" i="1"/>
  <c r="V20" i="1"/>
  <c r="V21" i="1"/>
  <c r="V6" i="1"/>
  <c r="R16" i="1"/>
  <c r="T16" i="1" s="1"/>
  <c r="T17" i="1"/>
  <c r="V17" i="1" s="1"/>
  <c r="R6" i="1"/>
  <c r="K18" i="1"/>
  <c r="K11" i="1"/>
  <c r="K7" i="1"/>
  <c r="K8" i="1"/>
  <c r="K9" i="1"/>
  <c r="T9" i="1" s="1"/>
  <c r="K10" i="1"/>
  <c r="K12" i="1"/>
  <c r="K13" i="1"/>
  <c r="K14" i="1"/>
  <c r="K15" i="1"/>
  <c r="K21" i="1"/>
  <c r="K6" i="1"/>
  <c r="T6" i="1" s="1"/>
  <c r="R21" i="1"/>
  <c r="R9" i="1"/>
  <c r="T20" i="1"/>
  <c r="R19" i="1"/>
  <c r="T19" i="1" s="1"/>
  <c r="R7" i="1"/>
  <c r="R8" i="1"/>
  <c r="R10" i="1"/>
  <c r="R11" i="1"/>
  <c r="R12" i="1"/>
  <c r="R13" i="1"/>
  <c r="R14" i="1"/>
  <c r="R15" i="1"/>
  <c r="R18" i="1"/>
  <c r="T12" i="1" l="1"/>
  <c r="V12" i="1" s="1"/>
  <c r="T18" i="1"/>
  <c r="T15" i="1"/>
  <c r="T8" i="1"/>
  <c r="T21" i="1"/>
  <c r="T14" i="1"/>
  <c r="T11" i="1"/>
  <c r="V11" i="1" s="1"/>
  <c r="T13" i="1"/>
  <c r="T10" i="1"/>
  <c r="T7" i="1"/>
</calcChain>
</file>

<file path=xl/sharedStrings.xml><?xml version="1.0" encoding="utf-8"?>
<sst xmlns="http://schemas.openxmlformats.org/spreadsheetml/2006/main" count="141" uniqueCount="98">
  <si>
    <t>Teacher Accountability Mechanism - Social Science</t>
  </si>
  <si>
    <t xml:space="preserve">SNO. </t>
  </si>
  <si>
    <t>Teacher's Name</t>
  </si>
  <si>
    <t>Walk through feedback</t>
  </si>
  <si>
    <t>Examination related duties</t>
  </si>
  <si>
    <t>Class Result</t>
  </si>
  <si>
    <t>Excursions</t>
  </si>
  <si>
    <t>CPD Attended</t>
  </si>
  <si>
    <t>Mindspark</t>
  </si>
  <si>
    <t>Micro Teaching</t>
  </si>
  <si>
    <t xml:space="preserve">Sno. </t>
  </si>
  <si>
    <t>Notebook Evaluation</t>
  </si>
  <si>
    <t>LP record</t>
  </si>
  <si>
    <t>DA</t>
  </si>
  <si>
    <t xml:space="preserve">Excursions </t>
  </si>
  <si>
    <t>Outdoor Activities</t>
  </si>
  <si>
    <t>REMARKS</t>
  </si>
  <si>
    <t>ESSENTIAL AGREEMENTS</t>
  </si>
  <si>
    <t>NA</t>
  </si>
  <si>
    <t>No. of Field Trips</t>
  </si>
  <si>
    <t>Walk through feedback (10)</t>
  </si>
  <si>
    <t>Notebook evaluation (10)</t>
  </si>
  <si>
    <t>Class Result (30)</t>
  </si>
  <si>
    <t>DA Avg (10)</t>
  </si>
  <si>
    <t>Overall Remarks</t>
  </si>
  <si>
    <t>Annual/HF Result mean (10)</t>
  </si>
  <si>
    <t>Sec 1</t>
  </si>
  <si>
    <t>Sec 2</t>
  </si>
  <si>
    <t>Sec 3</t>
  </si>
  <si>
    <t>Sec 4</t>
  </si>
  <si>
    <t>Reduced to 10</t>
  </si>
  <si>
    <t>Accountability Mechanism-2024</t>
  </si>
  <si>
    <t>Micro Teaching (20 m)</t>
  </si>
  <si>
    <t>Contribution/achievement/No. of smileys (Dept.+WC)
(Mention any special inputs/ideas provided by the teacher for the dpt/school</t>
  </si>
  <si>
    <r>
      <t>Lesson Plan Record     (</t>
    </r>
    <r>
      <rPr>
        <sz val="16"/>
        <color theme="1"/>
        <rFont val="Book Antiqua"/>
        <family val="1"/>
      </rPr>
      <t>Timely sub. &amp; Quality of TLM</t>
    </r>
    <r>
      <rPr>
        <b/>
        <sz val="16"/>
        <color theme="1"/>
        <rFont val="Book Antiqua"/>
        <family val="1"/>
      </rPr>
      <t>) (20)</t>
    </r>
  </si>
  <si>
    <r>
      <t xml:space="preserve">CPD </t>
    </r>
    <r>
      <rPr>
        <b/>
        <sz val="16"/>
        <color theme="1"/>
        <rFont val="Calibri"/>
        <family val="2"/>
      </rPr>
      <t>×</t>
    </r>
    <r>
      <rPr>
        <b/>
        <sz val="16"/>
        <color theme="1"/>
        <rFont val="Book Antiqua"/>
        <family val="1"/>
      </rPr>
      <t xml:space="preserve"> 5 M. No. of hrs</t>
    </r>
  </si>
  <si>
    <t>Nitika Sharma</t>
  </si>
  <si>
    <t>Teena Sandhu</t>
  </si>
  <si>
    <t>Jyoti Kumar</t>
  </si>
  <si>
    <t>Kartika</t>
  </si>
  <si>
    <t>Nikita Smith</t>
  </si>
  <si>
    <t>Anuradha C.</t>
  </si>
  <si>
    <t>Malini Ogra</t>
  </si>
  <si>
    <t>Radhika Thareja</t>
  </si>
  <si>
    <t>Radhika Sriram</t>
  </si>
  <si>
    <t>Vandana Saini</t>
  </si>
  <si>
    <t>Priyanka Roy</t>
  </si>
  <si>
    <t>Vasudha Gill</t>
  </si>
  <si>
    <t>Akriti Sinha</t>
  </si>
  <si>
    <t>Outdoor act</t>
  </si>
  <si>
    <t>TOT</t>
  </si>
  <si>
    <t>No. of CPD</t>
  </si>
  <si>
    <t xml:space="preserve">Smilies </t>
  </si>
  <si>
    <t>Contributes aggresively to dept meetings</t>
  </si>
  <si>
    <t>Average contribution to dept meetings</t>
  </si>
  <si>
    <t>Facilitated dept meetings</t>
  </si>
  <si>
    <t>Only 10/16 coordination meetings attended. Difference in the pedagogical style and content delivery of different classes for the same topic observed. Requirement of a more transparent and detailed, journalled coordination.</t>
  </si>
  <si>
    <r>
      <t xml:space="preserve">Shivani Mehta   Neelam Sahni  </t>
    </r>
    <r>
      <rPr>
        <b/>
        <u/>
        <sz val="16"/>
        <color theme="1"/>
        <rFont val="Book Antiqua"/>
        <family val="1"/>
      </rPr>
      <t>Sandhya</t>
    </r>
    <r>
      <rPr>
        <b/>
        <sz val="16"/>
        <color theme="1"/>
        <rFont val="Book Antiqua"/>
        <family val="1"/>
      </rPr>
      <t xml:space="preserve"> </t>
    </r>
  </si>
  <si>
    <t xml:space="preserve">Yash Goswami    Bina Kapoor       </t>
  </si>
  <si>
    <t>Quality of QP and WS (Frequency, Number) (10)</t>
  </si>
  <si>
    <t>DA Avg (10)- Highest &amp; Lowest</t>
  </si>
  <si>
    <t xml:space="preserve">Mindspark (10)  </t>
  </si>
  <si>
    <t>T1 DA</t>
  </si>
  <si>
    <t>T2 DA Hig</t>
  </si>
  <si>
    <t>T2 DA Low</t>
  </si>
  <si>
    <t>Not out</t>
  </si>
  <si>
    <t>Positive Points X 2</t>
  </si>
  <si>
    <t>Sparkies, Highest No. of Participants</t>
  </si>
  <si>
    <t>Exceptional Handover before maternity</t>
  </si>
  <si>
    <t>Skill Builder Award- Silver</t>
  </si>
  <si>
    <t>Eng Month-VI-  2nd, Scholastic Writers motivator, Students for KET</t>
  </si>
  <si>
    <t>Mindspark Incharge, Initiative to compile HHW, Students for PET</t>
  </si>
  <si>
    <t>22 + Zamit</t>
  </si>
  <si>
    <t>19 + Zamit</t>
  </si>
  <si>
    <t>25 + Zamit</t>
  </si>
  <si>
    <t>24 + Zamit</t>
  </si>
  <si>
    <t>28 + Zamit</t>
  </si>
  <si>
    <t>30 + Zamit</t>
  </si>
  <si>
    <t>21 + Zamit</t>
  </si>
  <si>
    <t>32  + Zamit</t>
  </si>
  <si>
    <t>%</t>
  </si>
  <si>
    <t>Sum (100)</t>
  </si>
  <si>
    <t>Maximum Marks</t>
  </si>
  <si>
    <t>Sonali Gaur</t>
  </si>
  <si>
    <t xml:space="preserve"> Dual Responsibi;ity of LP for 2 months, X IX Competency Based ques creation, written appreciation for QP</t>
  </si>
  <si>
    <t>Initiative for XI,XII admist crises, Scholastic Writers motivator</t>
  </si>
  <si>
    <t>Eng Month- VIII 2nd, IX- 2nd, Scholastic Writer motivator, Highest students for KET PET, Praise worthy presentation at Asset meeting</t>
  </si>
  <si>
    <t xml:space="preserve">Average contribution to dept meetings, </t>
  </si>
  <si>
    <t xml:space="preserve"> Eng Month-   VI- 1st, VIII- 1st, Handled her own and Rimli's classes, Scholastic writers Motivator, Camb Assessment Classes</t>
  </si>
  <si>
    <t>Eng month- IX- 1st, Inter school Marketo mania- 1st, Max No. srudents for KET, Camb Assessment Classes, On spot preperation of students for YMLA Debate</t>
  </si>
  <si>
    <t>Quickest new joinee to take over, Nominee for Go sharpner, Scholastic Writers Motivator</t>
  </si>
  <si>
    <t>Did quite a fair job in LP right from the start, Max students from KET,PET, Camb Assessment classes, Handling multiple responsibilities of XI- working seamlessly</t>
  </si>
  <si>
    <t>Birthday Coord, Eng Month- IV- 1st</t>
  </si>
  <si>
    <t>Contributes aggresively to dept meetings,</t>
  </si>
  <si>
    <t>Vocabulary Incharge, Socio Fiesta Poem Recitation - 2nd, Award Go sharpner</t>
  </si>
  <si>
    <t xml:space="preserve"> Birthday Coord, Eng Month- V- 1ST, IV- 2nd</t>
  </si>
  <si>
    <t>5.3            6                                 --</t>
  </si>
  <si>
    <t>Average contribution to dept meetings, absent frequently owing to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</si>
</sst>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Blackadder ITC"/>
      <family val="5"/>
    </font>
    <font>
      <b/>
      <sz val="16"/>
      <color theme="1"/>
      <name val="Book Antiqua"/>
      <family val="1"/>
    </font>
    <font>
      <sz val="16"/>
      <color theme="1"/>
      <name val="Book Antiqua"/>
      <family val="1"/>
    </font>
    <font>
      <b/>
      <sz val="16"/>
      <color theme="1"/>
      <name val="Calibri"/>
      <family val="2"/>
    </font>
    <font>
      <b/>
      <sz val="48"/>
      <color theme="1"/>
      <name val="Arial Rounded MT Bold"/>
      <family val="2"/>
    </font>
    <font>
      <b/>
      <u/>
      <sz val="16"/>
      <color theme="1"/>
      <name val="Book Antiqua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3" fillId="0" borderId="1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wrapText="1"/>
    </xf>
    <xf numFmtId="0" fontId="6" fillId="2" borderId="10" xfId="0" applyFont="1" applyFill="1" applyBorder="1" applyAlignment="1">
      <alignment horizontal="center" wrapText="1"/>
    </xf>
    <xf numFmtId="0" fontId="6" fillId="2" borderId="11" xfId="0" applyFont="1" applyFill="1" applyBorder="1" applyAlignment="1">
      <alignment horizontal="center" wrapText="1"/>
    </xf>
    <xf numFmtId="0" fontId="6" fillId="2" borderId="12" xfId="0" applyFont="1" applyFill="1" applyBorder="1" applyAlignment="1">
      <alignment horizontal="center" wrapText="1"/>
    </xf>
    <xf numFmtId="0" fontId="6" fillId="2" borderId="13" xfId="0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0" fillId="0" borderId="0" xfId="0" applyFill="1"/>
    <xf numFmtId="0" fontId="3" fillId="5" borderId="1" xfId="0" applyFont="1" applyFill="1" applyBorder="1" applyAlignment="1">
      <alignment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"/>
  <sheetViews>
    <sheetView tabSelected="1" zoomScale="43" zoomScaleNormal="63" workbookViewId="0">
      <pane xSplit="2" ySplit="5" topLeftCell="C17" activePane="bottomRight" state="frozen"/>
      <selection pane="topRight" activeCell="C1" sqref="C1"/>
      <selection pane="bottomLeft" activeCell="A6" sqref="A6"/>
      <selection pane="bottomRight" activeCell="Q24" sqref="Q24"/>
    </sheetView>
  </sheetViews>
  <sheetFormatPr defaultRowHeight="14.4" x14ac:dyDescent="0.3"/>
  <cols>
    <col min="1" max="1" width="6.5546875" customWidth="1"/>
    <col min="2" max="2" width="27.5546875" customWidth="1"/>
    <col min="3" max="26" width="13.109375" customWidth="1"/>
    <col min="27" max="27" width="82.88671875" customWidth="1"/>
    <col min="28" max="28" width="47.5546875" customWidth="1"/>
  </cols>
  <sheetData>
    <row r="1" spans="1:28" ht="30.6" customHeight="1" x14ac:dyDescent="0.3">
      <c r="A1" s="15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7"/>
    </row>
    <row r="2" spans="1:28" ht="30.6" customHeight="1" thickBot="1" x14ac:dyDescent="0.35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</row>
    <row r="3" spans="1:28" s="2" customFormat="1" ht="136.5" customHeight="1" x14ac:dyDescent="0.3">
      <c r="A3" s="5" t="s">
        <v>1</v>
      </c>
      <c r="B3" s="5" t="s">
        <v>2</v>
      </c>
      <c r="C3" s="5" t="s">
        <v>20</v>
      </c>
      <c r="D3" s="5" t="s">
        <v>21</v>
      </c>
      <c r="E3" s="5" t="s">
        <v>34</v>
      </c>
      <c r="F3" s="5" t="s">
        <v>59</v>
      </c>
      <c r="G3" s="12" t="s">
        <v>22</v>
      </c>
      <c r="H3" s="13"/>
      <c r="I3" s="13"/>
      <c r="J3" s="13"/>
      <c r="K3" s="13"/>
      <c r="L3" s="13"/>
      <c r="M3" s="13"/>
      <c r="N3" s="13"/>
      <c r="O3" s="13"/>
      <c r="P3" s="14"/>
      <c r="Q3" s="7"/>
      <c r="R3" s="7"/>
      <c r="S3" s="5" t="s">
        <v>32</v>
      </c>
      <c r="T3" s="6" t="s">
        <v>81</v>
      </c>
      <c r="U3" s="6" t="s">
        <v>82</v>
      </c>
      <c r="V3" s="31" t="s">
        <v>80</v>
      </c>
      <c r="W3" s="5" t="s">
        <v>35</v>
      </c>
      <c r="X3" s="12" t="s">
        <v>19</v>
      </c>
      <c r="Y3" s="14"/>
      <c r="Z3" s="7" t="s">
        <v>52</v>
      </c>
      <c r="AA3" s="5" t="s">
        <v>33</v>
      </c>
      <c r="AB3" s="5" t="s">
        <v>24</v>
      </c>
    </row>
    <row r="4" spans="1:28" ht="77.400000000000006" customHeight="1" x14ac:dyDescent="0.4">
      <c r="A4" s="3"/>
      <c r="B4" s="3"/>
      <c r="C4" s="3">
        <v>10</v>
      </c>
      <c r="D4" s="3">
        <v>10</v>
      </c>
      <c r="E4" s="3">
        <v>10</v>
      </c>
      <c r="F4" s="3">
        <v>10</v>
      </c>
      <c r="G4" s="23" t="s">
        <v>60</v>
      </c>
      <c r="H4" s="26"/>
      <c r="I4" s="26"/>
      <c r="J4" s="24"/>
      <c r="K4" s="25">
        <v>10</v>
      </c>
      <c r="L4" s="3" t="s">
        <v>61</v>
      </c>
      <c r="M4" s="9" t="s">
        <v>25</v>
      </c>
      <c r="N4" s="10"/>
      <c r="O4" s="10"/>
      <c r="P4" s="10"/>
      <c r="Q4" s="10"/>
      <c r="R4" s="11"/>
      <c r="S4" s="3" t="s">
        <v>66</v>
      </c>
      <c r="T4" s="3"/>
      <c r="U4" s="3"/>
      <c r="V4" s="32"/>
      <c r="W4" s="3"/>
      <c r="X4" s="3" t="s">
        <v>6</v>
      </c>
      <c r="Y4" s="3" t="s">
        <v>49</v>
      </c>
      <c r="Z4" s="3"/>
      <c r="AA4" s="3"/>
      <c r="AB4" s="3"/>
    </row>
    <row r="5" spans="1:28" ht="126" x14ac:dyDescent="0.4">
      <c r="A5" s="3"/>
      <c r="B5" s="3"/>
      <c r="C5" s="3"/>
      <c r="D5" s="3"/>
      <c r="E5" s="3"/>
      <c r="F5" s="3"/>
      <c r="G5" s="3" t="s">
        <v>62</v>
      </c>
      <c r="H5" s="3" t="s">
        <v>62</v>
      </c>
      <c r="I5" s="3" t="s">
        <v>63</v>
      </c>
      <c r="J5" s="3" t="s">
        <v>64</v>
      </c>
      <c r="K5" s="3" t="s">
        <v>23</v>
      </c>
      <c r="L5" s="3" t="s">
        <v>67</v>
      </c>
      <c r="M5" s="3" t="s">
        <v>26</v>
      </c>
      <c r="N5" s="3" t="s">
        <v>27</v>
      </c>
      <c r="O5" s="3" t="s">
        <v>28</v>
      </c>
      <c r="P5" s="3" t="s">
        <v>29</v>
      </c>
      <c r="Q5" s="4" t="s">
        <v>50</v>
      </c>
      <c r="R5" s="4" t="s">
        <v>30</v>
      </c>
      <c r="S5" s="3"/>
      <c r="T5" s="3"/>
      <c r="U5" s="3"/>
      <c r="V5" s="32"/>
      <c r="W5" s="3" t="s">
        <v>51</v>
      </c>
      <c r="X5" s="3"/>
      <c r="Y5" s="3"/>
      <c r="Z5" s="3"/>
      <c r="AA5" s="3"/>
      <c r="AB5" s="3"/>
    </row>
    <row r="6" spans="1:28" ht="90" customHeight="1" x14ac:dyDescent="0.4">
      <c r="A6" s="3">
        <v>1</v>
      </c>
      <c r="B6" s="3" t="s">
        <v>36</v>
      </c>
      <c r="C6" s="3">
        <v>8</v>
      </c>
      <c r="D6" s="3">
        <v>8</v>
      </c>
      <c r="E6" s="3">
        <v>14</v>
      </c>
      <c r="F6" s="3">
        <v>7</v>
      </c>
      <c r="G6" s="27">
        <v>7.5</v>
      </c>
      <c r="H6" s="27">
        <v>7</v>
      </c>
      <c r="I6" s="27">
        <v>7.5</v>
      </c>
      <c r="J6" s="27">
        <v>6.5</v>
      </c>
      <c r="K6" s="3">
        <f>AVERAGE(G6:J6)</f>
        <v>7.125</v>
      </c>
      <c r="L6" s="3">
        <v>9</v>
      </c>
      <c r="M6" s="27">
        <v>15</v>
      </c>
      <c r="N6" s="27">
        <v>16</v>
      </c>
      <c r="O6" s="27">
        <v>14</v>
      </c>
      <c r="P6" s="27">
        <v>15</v>
      </c>
      <c r="Q6" s="27">
        <v>80</v>
      </c>
      <c r="R6" s="3">
        <f>SUM(M6:P6)/Q6*10</f>
        <v>7.5</v>
      </c>
      <c r="S6" s="3">
        <v>17</v>
      </c>
      <c r="T6" s="3">
        <f>C6+D6+E6++F6+K6+L6+R6+S6</f>
        <v>77.625</v>
      </c>
      <c r="U6" s="3">
        <v>100</v>
      </c>
      <c r="V6" s="32">
        <f>T6/U6*100</f>
        <v>77.625</v>
      </c>
      <c r="W6" s="3">
        <v>24</v>
      </c>
      <c r="X6" s="3">
        <v>2</v>
      </c>
      <c r="Y6" s="3">
        <v>1</v>
      </c>
      <c r="Z6" s="3">
        <v>4</v>
      </c>
      <c r="AA6" s="3" t="s">
        <v>95</v>
      </c>
      <c r="AB6" s="33" t="s">
        <v>53</v>
      </c>
    </row>
    <row r="7" spans="1:28" ht="90" customHeight="1" x14ac:dyDescent="0.4">
      <c r="A7" s="3">
        <v>2</v>
      </c>
      <c r="B7" s="3" t="s">
        <v>37</v>
      </c>
      <c r="C7" s="3">
        <v>6.4</v>
      </c>
      <c r="D7" s="3">
        <v>6</v>
      </c>
      <c r="E7" s="3">
        <v>12</v>
      </c>
      <c r="F7" s="3">
        <v>6</v>
      </c>
      <c r="G7" s="27">
        <v>7.5</v>
      </c>
      <c r="H7" s="27">
        <v>7.5</v>
      </c>
      <c r="I7" s="27">
        <v>7.5</v>
      </c>
      <c r="J7" s="27">
        <v>6</v>
      </c>
      <c r="K7" s="3">
        <f t="shared" ref="K7:K21" si="0">AVERAGE(G7:J7)</f>
        <v>7.125</v>
      </c>
      <c r="L7" s="3">
        <v>9</v>
      </c>
      <c r="M7" s="27">
        <v>57</v>
      </c>
      <c r="N7" s="27">
        <v>16</v>
      </c>
      <c r="O7" s="27">
        <v>15</v>
      </c>
      <c r="P7" s="27">
        <v>14</v>
      </c>
      <c r="Q7" s="27">
        <v>140</v>
      </c>
      <c r="R7" s="3">
        <f t="shared" ref="R7:R21" si="1">SUM(M7:P7)/Q7*10</f>
        <v>7.2857142857142856</v>
      </c>
      <c r="S7" s="3">
        <v>16</v>
      </c>
      <c r="T7" s="3">
        <f>C7+D7+E7++F7+K7+L7+R7+S7</f>
        <v>69.810714285714283</v>
      </c>
      <c r="U7" s="3">
        <v>100</v>
      </c>
      <c r="V7" s="32">
        <f t="shared" ref="V7:V21" si="2">T7/U7*100</f>
        <v>69.810714285714283</v>
      </c>
      <c r="W7" s="3">
        <v>22</v>
      </c>
      <c r="X7" s="3">
        <v>1</v>
      </c>
      <c r="Y7" s="3">
        <v>0</v>
      </c>
      <c r="Z7" s="3">
        <v>3</v>
      </c>
      <c r="AA7" s="3" t="s">
        <v>94</v>
      </c>
      <c r="AB7" s="3" t="s">
        <v>54</v>
      </c>
    </row>
    <row r="8" spans="1:28" ht="90" customHeight="1" x14ac:dyDescent="0.4">
      <c r="A8" s="3">
        <v>3</v>
      </c>
      <c r="B8" s="3" t="s">
        <v>38</v>
      </c>
      <c r="C8" s="3">
        <v>9.4</v>
      </c>
      <c r="D8" s="3"/>
      <c r="E8" s="3">
        <v>16</v>
      </c>
      <c r="F8" s="3">
        <v>7</v>
      </c>
      <c r="G8" s="27">
        <v>7.5</v>
      </c>
      <c r="H8" s="27">
        <v>7.5</v>
      </c>
      <c r="I8" s="27">
        <v>9</v>
      </c>
      <c r="J8" s="27">
        <v>7</v>
      </c>
      <c r="K8" s="3">
        <f t="shared" si="0"/>
        <v>7.75</v>
      </c>
      <c r="L8" s="3">
        <v>9</v>
      </c>
      <c r="M8" s="27">
        <v>14</v>
      </c>
      <c r="N8" s="27">
        <v>15</v>
      </c>
      <c r="O8" s="27">
        <v>15</v>
      </c>
      <c r="P8" s="27"/>
      <c r="Q8" s="27">
        <v>60</v>
      </c>
      <c r="R8" s="3">
        <f t="shared" si="1"/>
        <v>7.333333333333333</v>
      </c>
      <c r="S8" s="3">
        <v>19</v>
      </c>
      <c r="T8" s="3">
        <f>C8+D8+E8++F8+K8+L8+R8+S8</f>
        <v>75.483333333333334</v>
      </c>
      <c r="U8" s="3">
        <v>100</v>
      </c>
      <c r="V8" s="32">
        <f t="shared" si="2"/>
        <v>75.483333333333334</v>
      </c>
      <c r="W8" s="3">
        <v>28</v>
      </c>
      <c r="X8" s="3">
        <v>1</v>
      </c>
      <c r="Y8" s="3">
        <v>1</v>
      </c>
      <c r="Z8" s="3">
        <v>3</v>
      </c>
      <c r="AA8" s="3" t="s">
        <v>92</v>
      </c>
      <c r="AB8" s="33" t="s">
        <v>93</v>
      </c>
    </row>
    <row r="9" spans="1:28" s="29" customFormat="1" ht="90" customHeight="1" x14ac:dyDescent="0.4">
      <c r="A9" s="28">
        <v>4</v>
      </c>
      <c r="B9" s="28" t="s">
        <v>83</v>
      </c>
      <c r="C9" s="28">
        <v>8.1999999999999993</v>
      </c>
      <c r="D9" s="28">
        <v>6</v>
      </c>
      <c r="E9" s="28">
        <v>16</v>
      </c>
      <c r="F9" s="28">
        <v>7</v>
      </c>
      <c r="G9" s="27" t="s">
        <v>18</v>
      </c>
      <c r="H9" s="27" t="s">
        <v>18</v>
      </c>
      <c r="I9" s="27">
        <v>6.5</v>
      </c>
      <c r="J9" s="27">
        <v>6</v>
      </c>
      <c r="K9" s="28">
        <f t="shared" si="0"/>
        <v>6.25</v>
      </c>
      <c r="L9" s="28">
        <v>7</v>
      </c>
      <c r="M9" s="27">
        <v>50</v>
      </c>
      <c r="N9" s="27">
        <v>55</v>
      </c>
      <c r="O9" s="27">
        <v>53</v>
      </c>
      <c r="P9" s="27">
        <v>57</v>
      </c>
      <c r="Q9" s="27">
        <v>320</v>
      </c>
      <c r="R9" s="28">
        <f t="shared" si="1"/>
        <v>6.71875</v>
      </c>
      <c r="S9" s="28">
        <v>0</v>
      </c>
      <c r="T9" s="28">
        <f>C9+D9+E9++F9+K9+R9</f>
        <v>50.168750000000003</v>
      </c>
      <c r="U9" s="28">
        <v>100</v>
      </c>
      <c r="V9" s="32">
        <f t="shared" si="2"/>
        <v>50.168750000000003</v>
      </c>
      <c r="W9" s="28">
        <v>3</v>
      </c>
      <c r="X9" s="28">
        <v>0</v>
      </c>
      <c r="Y9" s="28">
        <v>0</v>
      </c>
      <c r="Z9" s="28">
        <v>1</v>
      </c>
      <c r="AA9" s="28" t="s">
        <v>91</v>
      </c>
      <c r="AB9" s="3" t="s">
        <v>54</v>
      </c>
    </row>
    <row r="10" spans="1:28" ht="90" customHeight="1" x14ac:dyDescent="0.4">
      <c r="A10" s="3">
        <v>5</v>
      </c>
      <c r="B10" s="3" t="s">
        <v>39</v>
      </c>
      <c r="C10" s="3">
        <v>7.9</v>
      </c>
      <c r="D10" s="3">
        <v>6</v>
      </c>
      <c r="E10" s="3">
        <v>12</v>
      </c>
      <c r="F10" s="3">
        <v>7</v>
      </c>
      <c r="G10" s="27">
        <v>6.5</v>
      </c>
      <c r="H10" s="27">
        <v>6.5</v>
      </c>
      <c r="I10" s="27"/>
      <c r="J10" s="27"/>
      <c r="K10" s="3">
        <f t="shared" si="0"/>
        <v>6.5</v>
      </c>
      <c r="L10" s="3">
        <v>9</v>
      </c>
      <c r="M10" s="27">
        <v>59</v>
      </c>
      <c r="N10" s="27">
        <v>59</v>
      </c>
      <c r="O10" s="27">
        <v>60</v>
      </c>
      <c r="P10" s="27">
        <v>63</v>
      </c>
      <c r="Q10" s="27">
        <v>320</v>
      </c>
      <c r="R10" s="3">
        <f t="shared" si="1"/>
        <v>7.53125</v>
      </c>
      <c r="S10" s="3">
        <v>18</v>
      </c>
      <c r="T10" s="3">
        <f>C10+D10+E10++F10+K10+L10+R10+S10</f>
        <v>73.931250000000006</v>
      </c>
      <c r="U10" s="3">
        <v>100</v>
      </c>
      <c r="V10" s="32">
        <f t="shared" si="2"/>
        <v>73.931250000000006</v>
      </c>
      <c r="W10" s="3" t="s">
        <v>72</v>
      </c>
      <c r="X10" s="3">
        <v>1</v>
      </c>
      <c r="Y10" s="3">
        <v>0</v>
      </c>
      <c r="Z10" s="3">
        <v>3</v>
      </c>
      <c r="AA10" s="3" t="s">
        <v>90</v>
      </c>
      <c r="AB10" s="33" t="s">
        <v>54</v>
      </c>
    </row>
    <row r="11" spans="1:28" ht="90" customHeight="1" x14ac:dyDescent="0.4">
      <c r="A11" s="3">
        <v>6</v>
      </c>
      <c r="B11" s="3" t="s">
        <v>40</v>
      </c>
      <c r="C11" s="3">
        <v>7.2</v>
      </c>
      <c r="D11" s="3">
        <v>6</v>
      </c>
      <c r="E11" s="3">
        <v>11</v>
      </c>
      <c r="F11" s="3">
        <v>10</v>
      </c>
      <c r="G11" s="27">
        <v>7.27</v>
      </c>
      <c r="H11" s="27">
        <v>6.08</v>
      </c>
      <c r="I11" s="27">
        <v>7</v>
      </c>
      <c r="J11" s="27">
        <v>6</v>
      </c>
      <c r="K11" s="3">
        <f t="shared" si="0"/>
        <v>6.5875000000000004</v>
      </c>
      <c r="L11" s="3">
        <v>7</v>
      </c>
      <c r="M11" s="27">
        <v>60</v>
      </c>
      <c r="N11" s="27">
        <v>69</v>
      </c>
      <c r="O11" s="27">
        <v>61</v>
      </c>
      <c r="P11" s="27">
        <v>61</v>
      </c>
      <c r="Q11" s="27">
        <v>320</v>
      </c>
      <c r="R11" s="3">
        <f t="shared" si="1"/>
        <v>7.84375</v>
      </c>
      <c r="S11" s="3">
        <v>14</v>
      </c>
      <c r="T11" s="3">
        <f>C11+D11+E11++F11+K11+L11+R11+S11</f>
        <v>69.631249999999994</v>
      </c>
      <c r="U11" s="3">
        <v>100</v>
      </c>
      <c r="V11" s="32">
        <f t="shared" si="2"/>
        <v>69.631249999999994</v>
      </c>
      <c r="W11" s="3" t="s">
        <v>73</v>
      </c>
      <c r="X11" s="3">
        <v>0</v>
      </c>
      <c r="Y11" s="3">
        <v>2</v>
      </c>
      <c r="Z11" s="3">
        <v>2</v>
      </c>
      <c r="AA11" s="3" t="s">
        <v>89</v>
      </c>
      <c r="AB11" s="28" t="s">
        <v>97</v>
      </c>
    </row>
    <row r="12" spans="1:28" ht="90" customHeight="1" x14ac:dyDescent="0.4">
      <c r="A12" s="3">
        <v>7</v>
      </c>
      <c r="B12" s="3" t="s">
        <v>41</v>
      </c>
      <c r="C12" s="3">
        <v>9</v>
      </c>
      <c r="D12" s="3">
        <v>7</v>
      </c>
      <c r="E12" s="3">
        <v>14</v>
      </c>
      <c r="F12" s="3">
        <v>8</v>
      </c>
      <c r="G12" s="27">
        <v>8</v>
      </c>
      <c r="H12" s="27">
        <v>6</v>
      </c>
      <c r="I12" s="27">
        <v>9</v>
      </c>
      <c r="J12" s="27">
        <v>6.5</v>
      </c>
      <c r="K12" s="3">
        <f t="shared" si="0"/>
        <v>7.375</v>
      </c>
      <c r="L12" s="3">
        <v>7</v>
      </c>
      <c r="M12" s="27">
        <v>65</v>
      </c>
      <c r="N12" s="27">
        <v>16</v>
      </c>
      <c r="O12" s="27">
        <v>13</v>
      </c>
      <c r="P12" s="27"/>
      <c r="Q12" s="27">
        <v>120</v>
      </c>
      <c r="R12" s="3">
        <f t="shared" si="1"/>
        <v>7.833333333333333</v>
      </c>
      <c r="S12" s="3">
        <v>14</v>
      </c>
      <c r="T12" s="3">
        <f>C12+D12+E12++F12+K12+L12+R12+S12</f>
        <v>74.208333333333343</v>
      </c>
      <c r="U12" s="3">
        <v>100</v>
      </c>
      <c r="V12" s="32">
        <f t="shared" si="2"/>
        <v>74.208333333333343</v>
      </c>
      <c r="W12" s="3" t="s">
        <v>74</v>
      </c>
      <c r="X12" s="3">
        <v>1</v>
      </c>
      <c r="Y12" s="3">
        <v>1</v>
      </c>
      <c r="Z12" s="3">
        <v>4</v>
      </c>
      <c r="AA12" s="3" t="s">
        <v>88</v>
      </c>
      <c r="AB12" s="33" t="s">
        <v>54</v>
      </c>
    </row>
    <row r="13" spans="1:28" ht="90" customHeight="1" x14ac:dyDescent="0.4">
      <c r="A13" s="3">
        <v>8</v>
      </c>
      <c r="B13" s="3" t="s">
        <v>42</v>
      </c>
      <c r="C13" s="3">
        <v>8.8000000000000007</v>
      </c>
      <c r="D13" s="3">
        <v>7</v>
      </c>
      <c r="E13" s="3">
        <v>14</v>
      </c>
      <c r="F13" s="3">
        <v>8</v>
      </c>
      <c r="G13" s="27">
        <v>7</v>
      </c>
      <c r="H13" s="27">
        <v>6.5</v>
      </c>
      <c r="I13" s="27">
        <v>6.5</v>
      </c>
      <c r="J13" s="27">
        <v>6</v>
      </c>
      <c r="K13" s="3">
        <f t="shared" si="0"/>
        <v>6.5</v>
      </c>
      <c r="L13" s="3">
        <v>8</v>
      </c>
      <c r="M13" s="27">
        <v>58.5</v>
      </c>
      <c r="N13" s="27">
        <v>60</v>
      </c>
      <c r="O13" s="27">
        <v>59</v>
      </c>
      <c r="P13" s="27">
        <v>61.5</v>
      </c>
      <c r="Q13" s="27">
        <v>320</v>
      </c>
      <c r="R13" s="3">
        <f t="shared" si="1"/>
        <v>7.46875</v>
      </c>
      <c r="S13" s="3">
        <v>18</v>
      </c>
      <c r="T13" s="3">
        <f>C13+D13+E13++F13+K13+L13+R13+S13</f>
        <v>77.768749999999997</v>
      </c>
      <c r="U13" s="3">
        <v>100</v>
      </c>
      <c r="V13" s="32">
        <f t="shared" si="2"/>
        <v>77.768749999999997</v>
      </c>
      <c r="W13" s="3" t="s">
        <v>75</v>
      </c>
      <c r="X13" s="3">
        <v>1</v>
      </c>
      <c r="Y13" s="3">
        <v>1</v>
      </c>
      <c r="Z13" s="3">
        <v>2</v>
      </c>
      <c r="AA13" s="3" t="s">
        <v>71</v>
      </c>
      <c r="AB13" s="33" t="s">
        <v>54</v>
      </c>
    </row>
    <row r="14" spans="1:28" ht="90" customHeight="1" x14ac:dyDescent="0.4">
      <c r="A14" s="3">
        <v>9</v>
      </c>
      <c r="B14" s="3" t="s">
        <v>43</v>
      </c>
      <c r="C14" s="3">
        <v>9</v>
      </c>
      <c r="D14" s="3">
        <v>7</v>
      </c>
      <c r="E14" s="3"/>
      <c r="F14" s="3">
        <v>7</v>
      </c>
      <c r="G14" s="27">
        <v>6</v>
      </c>
      <c r="H14" s="27">
        <v>7.5</v>
      </c>
      <c r="I14" s="27">
        <v>6.5</v>
      </c>
      <c r="J14" s="27">
        <v>7</v>
      </c>
      <c r="K14" s="3">
        <f t="shared" si="0"/>
        <v>6.75</v>
      </c>
      <c r="L14" s="3">
        <v>9</v>
      </c>
      <c r="M14" s="27">
        <v>70</v>
      </c>
      <c r="N14" s="27">
        <v>65</v>
      </c>
      <c r="O14" s="27">
        <v>64</v>
      </c>
      <c r="P14" s="27"/>
      <c r="Q14" s="27">
        <v>240</v>
      </c>
      <c r="R14" s="3">
        <f t="shared" si="1"/>
        <v>8.2916666666666679</v>
      </c>
      <c r="S14" s="3">
        <v>19</v>
      </c>
      <c r="T14" s="3">
        <f>C14+D14+E14++F14+K14+L14+R14+S14</f>
        <v>66.041666666666671</v>
      </c>
      <c r="U14" s="3">
        <v>100</v>
      </c>
      <c r="V14" s="32">
        <f t="shared" si="2"/>
        <v>66.041666666666671</v>
      </c>
      <c r="W14" s="3" t="s">
        <v>76</v>
      </c>
      <c r="X14" s="3">
        <v>3</v>
      </c>
      <c r="Y14" s="3">
        <v>6</v>
      </c>
      <c r="Z14" s="3">
        <v>4</v>
      </c>
      <c r="AA14" s="3" t="s">
        <v>86</v>
      </c>
      <c r="AB14" s="3" t="s">
        <v>54</v>
      </c>
    </row>
    <row r="15" spans="1:28" ht="90" customHeight="1" x14ac:dyDescent="0.4">
      <c r="A15" s="3">
        <v>10</v>
      </c>
      <c r="B15" s="3" t="s">
        <v>44</v>
      </c>
      <c r="C15" s="3">
        <v>9.1999999999999993</v>
      </c>
      <c r="D15" s="3">
        <v>8</v>
      </c>
      <c r="E15" s="3">
        <v>14</v>
      </c>
      <c r="F15" s="3">
        <v>8</v>
      </c>
      <c r="G15" s="27">
        <v>7.5</v>
      </c>
      <c r="H15" s="27">
        <v>7</v>
      </c>
      <c r="I15" s="27">
        <v>7</v>
      </c>
      <c r="J15" s="27" t="s">
        <v>65</v>
      </c>
      <c r="K15" s="3">
        <f t="shared" si="0"/>
        <v>7.166666666666667</v>
      </c>
      <c r="L15" s="3">
        <v>10</v>
      </c>
      <c r="M15" s="27">
        <v>67</v>
      </c>
      <c r="N15" s="27">
        <v>67</v>
      </c>
      <c r="O15" s="27">
        <v>60</v>
      </c>
      <c r="P15" s="27">
        <v>59</v>
      </c>
      <c r="Q15" s="27">
        <v>320</v>
      </c>
      <c r="R15" s="3">
        <f t="shared" si="1"/>
        <v>7.90625</v>
      </c>
      <c r="S15" s="3">
        <v>19</v>
      </c>
      <c r="T15" s="3">
        <f>C15+D15+E15++F15+K15+L15+R15+S15</f>
        <v>83.272916666666674</v>
      </c>
      <c r="U15" s="3">
        <v>100</v>
      </c>
      <c r="V15" s="32">
        <f t="shared" si="2"/>
        <v>83.272916666666674</v>
      </c>
      <c r="W15" s="3" t="s">
        <v>77</v>
      </c>
      <c r="X15" s="3">
        <v>1</v>
      </c>
      <c r="Y15" s="3">
        <v>0</v>
      </c>
      <c r="Z15" s="3">
        <v>2</v>
      </c>
      <c r="AA15" s="3" t="s">
        <v>70</v>
      </c>
      <c r="AB15" s="30" t="s">
        <v>87</v>
      </c>
    </row>
    <row r="16" spans="1:28" ht="137.4" customHeight="1" x14ac:dyDescent="0.4">
      <c r="A16" s="3">
        <v>11</v>
      </c>
      <c r="B16" s="3" t="s">
        <v>45</v>
      </c>
      <c r="C16" s="3">
        <v>8.1999999999999993</v>
      </c>
      <c r="D16" s="3">
        <v>8</v>
      </c>
      <c r="E16" s="3">
        <v>8</v>
      </c>
      <c r="F16" s="3">
        <v>6</v>
      </c>
      <c r="G16" s="27" t="s">
        <v>18</v>
      </c>
      <c r="H16" s="27" t="s">
        <v>18</v>
      </c>
      <c r="I16" s="27" t="s">
        <v>18</v>
      </c>
      <c r="J16" s="27" t="s">
        <v>18</v>
      </c>
      <c r="K16" s="3">
        <v>0</v>
      </c>
      <c r="L16" s="3">
        <v>0</v>
      </c>
      <c r="M16" s="27">
        <v>54.4</v>
      </c>
      <c r="N16" s="27">
        <v>56.72</v>
      </c>
      <c r="O16" s="27">
        <v>64.48</v>
      </c>
      <c r="P16" s="27">
        <v>0</v>
      </c>
      <c r="Q16" s="27">
        <v>240</v>
      </c>
      <c r="R16" s="3">
        <f t="shared" si="1"/>
        <v>7.3166666666666682</v>
      </c>
      <c r="S16" s="3">
        <v>0</v>
      </c>
      <c r="T16" s="3">
        <f>C16+D16+E16++F16+K16+L16+R16+S16</f>
        <v>37.516666666666666</v>
      </c>
      <c r="U16" s="3">
        <v>80</v>
      </c>
      <c r="V16" s="32">
        <f t="shared" si="2"/>
        <v>46.895833333333329</v>
      </c>
      <c r="W16" s="3">
        <v>16</v>
      </c>
      <c r="X16" s="3">
        <v>0</v>
      </c>
      <c r="Y16" s="3">
        <v>0</v>
      </c>
      <c r="Z16" s="3">
        <v>3</v>
      </c>
      <c r="AA16" s="3" t="s">
        <v>85</v>
      </c>
      <c r="AB16" s="3" t="s">
        <v>56</v>
      </c>
    </row>
    <row r="17" spans="1:28" ht="90" customHeight="1" x14ac:dyDescent="0.4">
      <c r="A17" s="8">
        <v>12</v>
      </c>
      <c r="B17" s="8" t="s">
        <v>57</v>
      </c>
      <c r="C17" s="8" t="s">
        <v>96</v>
      </c>
      <c r="D17" s="8"/>
      <c r="E17" s="8">
        <v>8</v>
      </c>
      <c r="F17" s="8">
        <v>9</v>
      </c>
      <c r="G17" s="8" t="s">
        <v>18</v>
      </c>
      <c r="H17" s="8" t="s">
        <v>18</v>
      </c>
      <c r="I17" s="8" t="s">
        <v>18</v>
      </c>
      <c r="J17" s="8" t="s">
        <v>18</v>
      </c>
      <c r="K17" s="8" t="s">
        <v>18</v>
      </c>
      <c r="L17" s="8" t="s">
        <v>18</v>
      </c>
      <c r="M17" s="8"/>
      <c r="N17" s="8"/>
      <c r="O17" s="8"/>
      <c r="P17" s="8"/>
      <c r="Q17" s="8"/>
      <c r="R17" s="8"/>
      <c r="S17" s="8" t="s">
        <v>18</v>
      </c>
      <c r="T17" s="8" t="e">
        <f>C17+D17+E17++F17+K17+L17+R17+S17</f>
        <v>#VALUE!</v>
      </c>
      <c r="U17" s="8"/>
      <c r="V17" s="8" t="e">
        <f t="shared" si="2"/>
        <v>#VALUE!</v>
      </c>
      <c r="W17" s="8">
        <v>20</v>
      </c>
      <c r="X17" s="8">
        <v>0</v>
      </c>
      <c r="Y17" s="8">
        <v>0</v>
      </c>
      <c r="Z17" s="8"/>
      <c r="AA17" s="8"/>
      <c r="AB17" s="8" t="s">
        <v>53</v>
      </c>
    </row>
    <row r="18" spans="1:28" ht="90" customHeight="1" x14ac:dyDescent="0.4">
      <c r="A18" s="3">
        <v>13</v>
      </c>
      <c r="B18" s="3" t="s">
        <v>46</v>
      </c>
      <c r="C18" s="3">
        <v>8.5</v>
      </c>
      <c r="D18" s="3">
        <v>7</v>
      </c>
      <c r="E18" s="3">
        <v>14</v>
      </c>
      <c r="F18" s="3">
        <v>9</v>
      </c>
      <c r="G18" s="27">
        <v>6.5</v>
      </c>
      <c r="H18" s="27">
        <v>5</v>
      </c>
      <c r="I18" s="27">
        <v>6.5</v>
      </c>
      <c r="J18" s="27">
        <v>5.5</v>
      </c>
      <c r="K18" s="3">
        <f>AVERAGE(G18:J18)</f>
        <v>5.875</v>
      </c>
      <c r="L18" s="3">
        <v>0</v>
      </c>
      <c r="M18" s="27">
        <v>62</v>
      </c>
      <c r="N18" s="27">
        <v>64</v>
      </c>
      <c r="O18" s="27">
        <v>66</v>
      </c>
      <c r="P18" s="27">
        <v>60</v>
      </c>
      <c r="Q18" s="27">
        <v>320</v>
      </c>
      <c r="R18" s="3">
        <f t="shared" si="1"/>
        <v>7.875</v>
      </c>
      <c r="S18" s="3">
        <v>0</v>
      </c>
      <c r="T18" s="3">
        <f>C18+D18+E18++F18+K18+L18+R18+S18</f>
        <v>52.25</v>
      </c>
      <c r="U18" s="3">
        <v>100</v>
      </c>
      <c r="V18" s="32">
        <f t="shared" si="2"/>
        <v>52.25</v>
      </c>
      <c r="W18" s="3" t="s">
        <v>78</v>
      </c>
      <c r="X18" s="3">
        <v>0</v>
      </c>
      <c r="Y18" s="3">
        <v>0</v>
      </c>
      <c r="Z18" s="3">
        <v>1</v>
      </c>
      <c r="AA18" s="3" t="s">
        <v>84</v>
      </c>
      <c r="AB18" s="3" t="s">
        <v>54</v>
      </c>
    </row>
    <row r="19" spans="1:28" ht="81" customHeight="1" x14ac:dyDescent="0.4">
      <c r="A19" s="3">
        <v>14</v>
      </c>
      <c r="B19" s="3" t="s">
        <v>47</v>
      </c>
      <c r="C19" s="3">
        <v>9.4</v>
      </c>
      <c r="D19" s="3">
        <v>8</v>
      </c>
      <c r="E19" s="3">
        <v>15</v>
      </c>
      <c r="F19" s="3">
        <v>8</v>
      </c>
      <c r="G19" s="27" t="s">
        <v>18</v>
      </c>
      <c r="H19" s="27" t="s">
        <v>18</v>
      </c>
      <c r="I19" s="27" t="s">
        <v>18</v>
      </c>
      <c r="J19" s="27" t="s">
        <v>18</v>
      </c>
      <c r="K19" s="3">
        <v>0</v>
      </c>
      <c r="L19" s="3">
        <v>0</v>
      </c>
      <c r="M19" s="27">
        <v>64.400000000000006</v>
      </c>
      <c r="N19" s="27">
        <v>62.96</v>
      </c>
      <c r="O19" s="27">
        <v>59</v>
      </c>
      <c r="P19" s="27">
        <v>67</v>
      </c>
      <c r="Q19" s="27">
        <v>320</v>
      </c>
      <c r="R19" s="3">
        <f>SUM(M19:P19)/Q19*10</f>
        <v>7.9175000000000004</v>
      </c>
      <c r="S19" s="3">
        <v>18</v>
      </c>
      <c r="T19" s="3">
        <f>C19+D19+E19++F19+K19+L19+R19+S19</f>
        <v>66.317499999999995</v>
      </c>
      <c r="U19" s="3">
        <v>80</v>
      </c>
      <c r="V19" s="32">
        <f t="shared" si="2"/>
        <v>82.896874999999994</v>
      </c>
      <c r="W19" s="3">
        <v>8</v>
      </c>
      <c r="X19" s="3">
        <v>0</v>
      </c>
      <c r="Y19" s="3">
        <v>4</v>
      </c>
      <c r="Z19" s="3">
        <v>2</v>
      </c>
      <c r="AA19" s="3" t="s">
        <v>68</v>
      </c>
      <c r="AB19" s="30" t="s">
        <v>53</v>
      </c>
    </row>
    <row r="20" spans="1:28" ht="81" customHeight="1" x14ac:dyDescent="0.4">
      <c r="A20" s="8">
        <v>15</v>
      </c>
      <c r="B20" s="8" t="s">
        <v>58</v>
      </c>
      <c r="C20" s="8">
        <v>5.2</v>
      </c>
      <c r="D20" s="8">
        <v>4</v>
      </c>
      <c r="E20" s="8">
        <v>0</v>
      </c>
      <c r="F20" s="8">
        <v>7</v>
      </c>
      <c r="G20" s="8" t="s">
        <v>18</v>
      </c>
      <c r="H20" s="8" t="s">
        <v>18</v>
      </c>
      <c r="I20" s="8" t="s">
        <v>18</v>
      </c>
      <c r="J20" s="8" t="s">
        <v>18</v>
      </c>
      <c r="K20" s="8" t="s">
        <v>18</v>
      </c>
      <c r="L20" s="8" t="s">
        <v>18</v>
      </c>
      <c r="M20" s="8"/>
      <c r="N20" s="8"/>
      <c r="O20" s="8"/>
      <c r="P20" s="8"/>
      <c r="Q20" s="8"/>
      <c r="R20" s="8"/>
      <c r="S20" s="8"/>
      <c r="T20" s="8" t="e">
        <f>C20+D20+E20++F20+K20+L20+R20+S20</f>
        <v>#VALUE!</v>
      </c>
      <c r="U20" s="8"/>
      <c r="V20" s="8" t="e">
        <f t="shared" si="2"/>
        <v>#VALUE!</v>
      </c>
      <c r="W20" s="8"/>
      <c r="X20" s="8"/>
      <c r="Y20" s="8"/>
      <c r="Z20" s="8"/>
      <c r="AA20" s="8"/>
      <c r="AB20" s="8"/>
    </row>
    <row r="21" spans="1:28" ht="81" customHeight="1" x14ac:dyDescent="0.4">
      <c r="A21" s="3">
        <v>16</v>
      </c>
      <c r="B21" s="3" t="s">
        <v>48</v>
      </c>
      <c r="C21" s="3">
        <v>9</v>
      </c>
      <c r="D21" s="3">
        <v>9</v>
      </c>
      <c r="E21" s="3">
        <v>10</v>
      </c>
      <c r="F21" s="3">
        <v>9</v>
      </c>
      <c r="G21" s="27">
        <v>7</v>
      </c>
      <c r="H21" s="27">
        <v>7.5</v>
      </c>
      <c r="I21" s="27">
        <v>7.5</v>
      </c>
      <c r="J21" s="27" t="s">
        <v>65</v>
      </c>
      <c r="K21" s="3">
        <f t="shared" si="0"/>
        <v>7.333333333333333</v>
      </c>
      <c r="L21" s="3">
        <v>10</v>
      </c>
      <c r="M21" s="27">
        <v>55</v>
      </c>
      <c r="N21" s="27">
        <v>49</v>
      </c>
      <c r="O21" s="27"/>
      <c r="P21" s="27"/>
      <c r="Q21" s="27">
        <v>160</v>
      </c>
      <c r="R21" s="3">
        <f t="shared" si="1"/>
        <v>6.5</v>
      </c>
      <c r="S21" s="3">
        <v>20</v>
      </c>
      <c r="T21" s="3">
        <f>C21+D21+E21++F21+K21+L21+R21+S21</f>
        <v>80.833333333333343</v>
      </c>
      <c r="U21" s="3">
        <v>100</v>
      </c>
      <c r="V21" s="32">
        <f t="shared" si="2"/>
        <v>80.833333333333343</v>
      </c>
      <c r="W21" s="3" t="s">
        <v>79</v>
      </c>
      <c r="X21" s="3">
        <v>0</v>
      </c>
      <c r="Y21" s="3">
        <v>6</v>
      </c>
      <c r="Z21" s="3">
        <v>4</v>
      </c>
      <c r="AA21" s="3" t="s">
        <v>69</v>
      </c>
      <c r="AB21" s="27" t="s">
        <v>55</v>
      </c>
    </row>
  </sheetData>
  <mergeCells count="5">
    <mergeCell ref="M4:R4"/>
    <mergeCell ref="G3:P3"/>
    <mergeCell ref="X3:Y3"/>
    <mergeCell ref="A1:AB2"/>
    <mergeCell ref="G4:J4"/>
  </mergeCells>
  <pageMargins left="0.25" right="0.25" top="0.75" bottom="0.75" header="0.3" footer="0.3"/>
  <pageSetup paperSize="8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17"/>
  <sheetViews>
    <sheetView workbookViewId="0">
      <selection activeCell="D20" sqref="D20"/>
    </sheetView>
  </sheetViews>
  <sheetFormatPr defaultRowHeight="14.4" x14ac:dyDescent="0.3"/>
  <cols>
    <col min="2" max="2" width="24.33203125" customWidth="1"/>
  </cols>
  <sheetData>
    <row r="2" spans="1:14" ht="9.6" customHeight="1" x14ac:dyDescent="0.3"/>
    <row r="3" spans="1:14" x14ac:dyDescent="0.3">
      <c r="A3" s="21" t="s">
        <v>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ht="29.4" customHeight="1" x14ac:dyDescent="0.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6" spans="1:14" x14ac:dyDescent="0.3">
      <c r="A6" t="s">
        <v>10</v>
      </c>
      <c r="B6" t="s">
        <v>17</v>
      </c>
      <c r="C6" s="22" t="s">
        <v>16</v>
      </c>
      <c r="D6" s="22"/>
      <c r="E6" s="22"/>
      <c r="F6" s="22"/>
      <c r="G6" s="22"/>
    </row>
    <row r="7" spans="1:14" x14ac:dyDescent="0.3">
      <c r="B7" t="s">
        <v>3</v>
      </c>
      <c r="C7">
        <v>1</v>
      </c>
      <c r="D7">
        <v>2</v>
      </c>
      <c r="E7">
        <v>3</v>
      </c>
      <c r="F7">
        <v>4</v>
      </c>
      <c r="G7" t="s">
        <v>18</v>
      </c>
    </row>
    <row r="8" spans="1:14" x14ac:dyDescent="0.3">
      <c r="B8" t="s">
        <v>11</v>
      </c>
      <c r="C8">
        <v>1</v>
      </c>
      <c r="D8">
        <v>2</v>
      </c>
      <c r="E8">
        <v>3</v>
      </c>
      <c r="F8">
        <v>4</v>
      </c>
      <c r="G8" t="s">
        <v>18</v>
      </c>
    </row>
    <row r="9" spans="1:14" x14ac:dyDescent="0.3">
      <c r="B9" t="s">
        <v>12</v>
      </c>
      <c r="C9">
        <v>1</v>
      </c>
      <c r="D9">
        <v>2</v>
      </c>
      <c r="E9">
        <v>3</v>
      </c>
      <c r="F9">
        <v>4</v>
      </c>
      <c r="G9" t="s">
        <v>18</v>
      </c>
    </row>
    <row r="10" spans="1:14" x14ac:dyDescent="0.3">
      <c r="B10" s="1" t="s">
        <v>4</v>
      </c>
      <c r="C10">
        <v>1</v>
      </c>
      <c r="D10">
        <v>2</v>
      </c>
      <c r="E10">
        <v>3</v>
      </c>
      <c r="F10">
        <v>4</v>
      </c>
      <c r="G10" t="s">
        <v>18</v>
      </c>
    </row>
    <row r="11" spans="1:14" x14ac:dyDescent="0.3">
      <c r="B11" t="s">
        <v>5</v>
      </c>
      <c r="C11">
        <v>1</v>
      </c>
      <c r="D11">
        <v>2</v>
      </c>
      <c r="E11">
        <v>3</v>
      </c>
      <c r="F11">
        <v>4</v>
      </c>
      <c r="G11" t="s">
        <v>18</v>
      </c>
    </row>
    <row r="12" spans="1:14" x14ac:dyDescent="0.3">
      <c r="B12" t="s">
        <v>13</v>
      </c>
      <c r="C12">
        <v>1</v>
      </c>
      <c r="D12">
        <v>2</v>
      </c>
      <c r="E12">
        <v>3</v>
      </c>
      <c r="F12">
        <v>4</v>
      </c>
      <c r="G12" t="s">
        <v>18</v>
      </c>
    </row>
    <row r="13" spans="1:14" x14ac:dyDescent="0.3">
      <c r="B13" t="s">
        <v>8</v>
      </c>
      <c r="C13">
        <v>1</v>
      </c>
      <c r="D13">
        <v>2</v>
      </c>
      <c r="E13">
        <v>3</v>
      </c>
      <c r="F13">
        <v>4</v>
      </c>
      <c r="G13" t="s">
        <v>18</v>
      </c>
    </row>
    <row r="14" spans="1:14" x14ac:dyDescent="0.3">
      <c r="B14" t="s">
        <v>14</v>
      </c>
      <c r="C14">
        <v>1</v>
      </c>
      <c r="D14">
        <v>2</v>
      </c>
      <c r="E14">
        <v>3</v>
      </c>
      <c r="F14">
        <v>4</v>
      </c>
      <c r="G14" t="s">
        <v>18</v>
      </c>
    </row>
    <row r="15" spans="1:14" x14ac:dyDescent="0.3">
      <c r="B15" t="s">
        <v>15</v>
      </c>
      <c r="C15">
        <v>1</v>
      </c>
      <c r="D15">
        <v>2</v>
      </c>
      <c r="E15">
        <v>3</v>
      </c>
      <c r="F15">
        <v>4</v>
      </c>
      <c r="G15" t="s">
        <v>18</v>
      </c>
    </row>
    <row r="16" spans="1:14" x14ac:dyDescent="0.3">
      <c r="B16" t="s">
        <v>9</v>
      </c>
      <c r="C16">
        <v>1</v>
      </c>
      <c r="D16">
        <v>2</v>
      </c>
      <c r="E16">
        <v>3</v>
      </c>
      <c r="F16">
        <v>4</v>
      </c>
      <c r="G16" t="s">
        <v>18</v>
      </c>
    </row>
    <row r="17" spans="2:7" x14ac:dyDescent="0.3">
      <c r="B17" t="s">
        <v>7</v>
      </c>
      <c r="C17">
        <v>1</v>
      </c>
      <c r="D17">
        <v>2</v>
      </c>
      <c r="E17">
        <v>3</v>
      </c>
      <c r="F17">
        <v>4</v>
      </c>
      <c r="G17" t="s">
        <v>18</v>
      </c>
    </row>
  </sheetData>
  <mergeCells count="2">
    <mergeCell ref="A3:N4"/>
    <mergeCell ref="C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Choudhary</dc:creator>
  <cp:lastModifiedBy>Akriti Sinha</cp:lastModifiedBy>
  <cp:lastPrinted>2025-03-12T08:25:24Z</cp:lastPrinted>
  <dcterms:created xsi:type="dcterms:W3CDTF">2024-01-24T04:27:52Z</dcterms:created>
  <dcterms:modified xsi:type="dcterms:W3CDTF">2025-03-12T08:28:29Z</dcterms:modified>
</cp:coreProperties>
</file>